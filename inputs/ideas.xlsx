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xr:revisionPtr revIDLastSave="0" documentId="11_E0FFCABD3D22A3845DBD436A24977C64181CC1BE" xr6:coauthVersionLast="47" xr6:coauthVersionMax="47" xr10:uidLastSave="{00000000-0000-0000-0000-000000000000}"/>
  <bookViews>
    <workbookView xWindow="0" yWindow="0" windowWidth="16384" windowHeight="8192" tabRatio="500" xr2:uid="{00000000-000D-0000-FFFF-FFFF00000000}"/>
  </bookViews>
  <sheets>
    <sheet name="Judul &amp; Keyword" sheetId="1" r:id="rId1"/>
    <sheet name="Panduan" sheetId="2" r:id="rId2"/>
  </sheets>
  <definedNames>
    <definedName name="_xlnm._FilterDatabase" localSheetId="0" hidden="1">'Judul &amp; Keyword'!$A$1:$G$31</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1" i="1" l="1"/>
  <c r="D31" i="1"/>
  <c r="F30" i="1"/>
  <c r="D30" i="1"/>
  <c r="F29" i="1"/>
  <c r="D29" i="1"/>
  <c r="F28" i="1"/>
  <c r="D28" i="1"/>
  <c r="F27" i="1"/>
  <c r="D27" i="1"/>
  <c r="F26" i="1"/>
  <c r="D26" i="1"/>
  <c r="F25" i="1"/>
  <c r="D25" i="1"/>
  <c r="F24" i="1"/>
  <c r="D24" i="1"/>
  <c r="F23" i="1"/>
  <c r="D23" i="1"/>
  <c r="F22" i="1"/>
  <c r="D22" i="1"/>
  <c r="F21" i="1"/>
  <c r="D21" i="1"/>
  <c r="F20" i="1"/>
  <c r="D20" i="1"/>
  <c r="F19" i="1"/>
  <c r="D19" i="1"/>
  <c r="F18" i="1"/>
  <c r="D18" i="1"/>
  <c r="F17" i="1"/>
  <c r="D17" i="1"/>
  <c r="F16" i="1"/>
  <c r="D16" i="1"/>
  <c r="F15" i="1"/>
  <c r="D15" i="1"/>
  <c r="F14" i="1"/>
  <c r="D14" i="1"/>
  <c r="F13" i="1"/>
  <c r="D13" i="1"/>
  <c r="F12" i="1"/>
  <c r="D12" i="1"/>
  <c r="F11" i="1"/>
  <c r="D11" i="1"/>
  <c r="F10" i="1"/>
  <c r="D10" i="1"/>
  <c r="F9" i="1"/>
  <c r="D9" i="1"/>
  <c r="F8" i="1"/>
  <c r="D8" i="1"/>
  <c r="F7" i="1"/>
  <c r="D7" i="1"/>
  <c r="F6" i="1"/>
  <c r="D6" i="1"/>
  <c r="F5" i="1"/>
  <c r="D5" i="1"/>
  <c r="F4" i="1"/>
  <c r="D4" i="1"/>
  <c r="F3" i="1"/>
  <c r="D3" i="1"/>
  <c r="F2" i="1"/>
  <c r="D2" i="1"/>
</calcChain>
</file>

<file path=xl/sharedStrings.xml><?xml version="1.0" encoding="utf-8"?>
<sst xmlns="http://schemas.openxmlformats.org/spreadsheetml/2006/main" count="136" uniqueCount="83">
  <si>
    <t>No</t>
  </si>
  <si>
    <t>Kategori</t>
  </si>
  <si>
    <t>Judul (Title)</t>
  </si>
  <si>
    <t>Jumlah Karakter</t>
  </si>
  <si>
    <t>Keywords (25, urut dari terpenting)</t>
  </si>
  <si>
    <t>Jumlah Keyword</t>
  </si>
  <si>
    <t>Status Upload</t>
  </si>
  <si>
    <t>Bisnis &amp; UMKM</t>
  </si>
  <si>
    <t>Online shop icon set. E-commerce line icons with shopping cart, parcel, payment, delivery and customer review for small business</t>
  </si>
  <si>
    <t>online shop, e-commerce, small business, shopping cart, online store, parcel, delivery, payment, review, retail, seller, startup, business, vector, icon set, icons, line icon, flat design, symbol, collection, web icon, app icon, UI, illustration, graphic</t>
  </si>
  <si>
    <t>Belum dibuat</t>
  </si>
  <si>
    <t>Small business owner icon set. Entrepreneur, shop, store front, cashier, product and sales line icons</t>
  </si>
  <si>
    <t>small business, business owner, entrepreneur, shop, store front, cashier, product, sales, merchant, SME, local business, startup, retail, vector, icon set, icons, line icon, flat design, symbol, collection, web icon, app icon, UI, illustration, graphic</t>
  </si>
  <si>
    <t>Digital payment icon set. QR code payment, e-wallet, credit card, transfer and mobile banking line icons</t>
  </si>
  <si>
    <t>digital payment, QR code, e-wallet, credit card, money transfer, mobile banking, cashless, fintech, transaction, finance, checkout, pay, bank, vector, icon set, icons, line icon, flat design, symbol, collection, web icon, app icon, UI, illustration, graphic</t>
  </si>
  <si>
    <t>Packaging and shipping icon set. Parcel box, tape, label, fragile, delivery truck and tracking line icons</t>
  </si>
  <si>
    <t>packaging, shipping, parcel, box, package, fragile, delivery truck, tracking, label, cargo, courier, order, logistics, vector, icon set, icons, line icon, flat design, symbol, collection, web icon, app icon, UI, illustration, graphic</t>
  </si>
  <si>
    <t>Customer service icon set. Headset, chat bubble, support agent, hotline, feedback and FAQ line icons</t>
  </si>
  <si>
    <t>customer service, support, headset, chat, call center, help desk, hotline, feedback, FAQ, assistance, contact us, agent, communication, vector, icon set, icons, line icon, flat design, symbol, collection, web icon, app icon, UI, illustration, graphic</t>
  </si>
  <si>
    <t>Digital marketing icon set. Social media, advertising, megaphone, influencer, engagement and analytics line icons</t>
  </si>
  <si>
    <t>digital marketing, social media, advertising, megaphone, influencer, engagement, analytics, campaign, promotion, SEO, content, brand, online marketing, vector, icon set, icons, line icon, flat design, symbol, collection, web icon, app icon, UI, illustration, graphic</t>
  </si>
  <si>
    <t>Inventory and warehouse icon set. Stock, shelf, barcode, forklift, pallet and storage line icons</t>
  </si>
  <si>
    <t>inventory, warehouse, stock, shelf, barcode, forklift, pallet, storage, supply chain, goods, distribution, scanner, depot, vector, icon set, icons, line icon, flat design, symbol, collection, web icon, app icon, UI, illustration, graphic</t>
  </si>
  <si>
    <t>Business growth and finance icon set. Profit chart, savings, investment, budget, coin and report line icons</t>
  </si>
  <si>
    <t>business growth, finance, profit, chart, savings, investment, budget, coin, report, revenue, accounting, money, success, vector, icon set, icons, line icon, flat design, symbol, collection, web icon, app icon, UI, illustration, graphic</t>
  </si>
  <si>
    <t>Kuliner &amp; retail</t>
  </si>
  <si>
    <t>Street food and food stall icon set. Cart, skewer, noodle bowl, grill, vendor and snack line icons</t>
  </si>
  <si>
    <t>street food, food stall, food cart, skewer, noodle, bowl, grill, vendor, snack, food truck, cuisine, meal, asian food, vector, icon set, icons, line icon, flat design, symbol, collection, web icon, app icon, UI, illustration, graphic</t>
  </si>
  <si>
    <t>Coffee shop and cafe icon set. Coffee cup, beans, espresso machine, barista, latte and cake line icons</t>
  </si>
  <si>
    <t>coffee shop, cafe, coffee cup, coffee beans, espresso, barista, latte, cake, drink, beverage, hot coffee, takeaway, menu, vector, icon set, icons, line icon, flat design, symbol, collection, web icon, app icon, UI, illustration, graphic</t>
  </si>
  <si>
    <t>Bakery and pastry icon set. Bread, croissant, cupcake, oven, rolling pin and whisk line icons</t>
  </si>
  <si>
    <t>bakery, pastry, bread, croissant, cupcake, oven, rolling pin, whisk, baking, dessert, cake, flour, sweet, vector, icon set, icons, line icon, flat design, symbol, collection, web icon, app icon, UI, illustration, graphic</t>
  </si>
  <si>
    <t>Fashion store icon set. Clothes, dress, shoes, hanger, bag and tailor line icons</t>
  </si>
  <si>
    <t>fashion, clothes, dress, shoes, hanger, bag, tailor, clothing store, boutique, apparel, shirt, wardrobe, style, vector, icon set, icons, line icon, flat design, symbol, collection, web icon, app icon, UI, illustration, graphic</t>
  </si>
  <si>
    <t>Grocery and traditional market icon set. Vegetables, fruits, basket, scale, price tag and fresh produce line icons</t>
  </si>
  <si>
    <t>grocery, market, vegetables, fruits, basket, scale, price tag, fresh produce, supermarket, organic, shopping, food, farm, vector, icon set, icons, line icon, flat design, symbol, collection, web icon, app icon, UI, illustration, graphic</t>
  </si>
  <si>
    <t>Food delivery icon set. Scooter courier, takeaway bag, order tracking, meal box and app line icons</t>
  </si>
  <si>
    <t>food delivery, scooter, courier, takeaway, delivery bag, order tracking, meal box, restaurant, online order, rider, fast food, app, service, vector, icon set, icons, line icon, flat design, symbol, collection, web icon, app icon, UI, illustration, graphic</t>
  </si>
  <si>
    <t>Layanan &amp; kerja</t>
  </si>
  <si>
    <t>Remote work and home office icon set. Laptop, video call, desk, headphones, coffee and online meeting line icons</t>
  </si>
  <si>
    <t>remote work, home office, laptop, video call, desk, headphones, online meeting, work from home, telecommuting, freelancer, workspace, virtual, webcam, vector, icon set, icons, line icon, flat design, symbol, collection, web icon, app icon, UI, illustration, graphic</t>
  </si>
  <si>
    <t>Freelancer and creative worker icon set. Designer, pen tablet, portfolio, idea and project line icons</t>
  </si>
  <si>
    <t>freelancer, creative, designer, pen tablet, portfolio, idea, project, workflow, creativity, artist, brainstorm, workspace, career, vector, icon set, icons, line icon, flat design, symbol, collection, web icon, app icon, UI, illustration, graphic</t>
  </si>
  <si>
    <t>Logistics and courier icon set. Delivery van, route map, parcel, warehouse and tracking line icons</t>
  </si>
  <si>
    <t>logistics, courier, delivery van, route, map, parcel, warehouse, tracking, transport, freight, express, shipment, GPS, vector, icon set, icons, line icon, flat design, symbol, collection, web icon, app icon, UI, illustration, graphic</t>
  </si>
  <si>
    <t>Online education icon set. E-learning, laptop, certificate, books, webinar and graduation line icons</t>
  </si>
  <si>
    <t>online education, e-learning, laptop, certificate, books, webinar, graduation, student, course, school, study, teacher, knowledge, vector, icon set, icons, line icon, flat design, symbol, collection, web icon, app icon, UI, illustration, graphic</t>
  </si>
  <si>
    <t>Health clinic and pharmacy icon set. Doctor, stethoscope, medicine, hospital, first aid and heartbeat line icons</t>
  </si>
  <si>
    <t>health, clinic, pharmacy, doctor, stethoscope, medicine, hospital, first aid, heartbeat, medical, healthcare, pill, patient, vector, icon set, icons, line icon, flat design, symbol, collection, web icon, app icon, UI, illustration, graphic</t>
  </si>
  <si>
    <t>Real estate icon set. House, apartment, key, contract, location pin and mortgage line icons</t>
  </si>
  <si>
    <t>real estate, house, apartment, key, contract, location pin, mortgage, property, building, home, rent, agent, sale, vector, icon set, icons, line icon, flat design, symbol, collection, web icon, app icon, UI, illustration, graphic</t>
  </si>
  <si>
    <t>Teknologi</t>
  </si>
  <si>
    <t>Artificial intelligence icon set. AI chip, robot, neural network, chatbot, machine learning and automation line icons</t>
  </si>
  <si>
    <t>artificial intelligence, AI, chip, robot, neural network, chatbot, machine learning, automation, technology, algorithm, smart, digital, future, vector, icon set, icons, line icon, flat design, symbol, collection, web icon, app icon, UI, illustration, graphic</t>
  </si>
  <si>
    <t>Cybersecurity icon set. Shield, padlock, firewall, password, data protection and hacker line icons</t>
  </si>
  <si>
    <t>cybersecurity, shield, padlock, firewall, password, data protection, hacker, security, privacy, encryption, safe, network, lock, vector, icon set, icons, line icon, flat design, symbol, collection, web icon, app icon, UI, illustration, graphic</t>
  </si>
  <si>
    <t>Cloud computing and data icon set. Cloud storage, server, database, upload, sync and backup line icons</t>
  </si>
  <si>
    <t>cloud computing, cloud storage, server, database, upload, sync, backup, data center, hosting, network, technology, download, big data, vector, icon set, icons, line icon, flat design, symbol, collection, web icon, app icon, UI, illustration, graphic</t>
  </si>
  <si>
    <t>Mobile app and UI icon set. Smartphone, menu, notification, search, settings and navigation line icons</t>
  </si>
  <si>
    <t>mobile app, UI, UX, smartphone, menu, notification, search, settings, navigation, interface, button, user interface, application, vector, icon set, icons, line icon, flat design, symbol, collection, web icon, app icon, illustration, graphic, design element</t>
  </si>
  <si>
    <t>Lokal &amp; musiman</t>
  </si>
  <si>
    <t>Indonesian traditional food icon set. Satay, rice cone tumpeng, noodle, fried rice and spice line icons</t>
  </si>
  <si>
    <t>Indonesian food, traditional food, satay, tumpeng, noodle, fried rice, spice, Indonesia, culinary, Asian cuisine, Southeast Asia, local food, dish, vector, icon set, icons, line icon, flat design, symbol, collection, web icon, app icon, UI, illustration, graphic</t>
  </si>
  <si>
    <t>Batik pattern and motif icon set. Indonesian batik ornaments, floral, parang and geometric elements</t>
  </si>
  <si>
    <t>batik, Indonesia, pattern, motif, ornament, floral, parang, geometric, traditional, textile, Javanese, culture, heritage, vector, icon set, icons, line icon, flat design, symbol, collection, web icon, app icon, UI, illustration, graphic</t>
  </si>
  <si>
    <t>Ramadan and Eid icon set. Crescent moon, lantern, mosque, ketupat, dates and prayer line icons</t>
  </si>
  <si>
    <t>Ramadan, Eid, Eid al-Fitr, crescent moon, lantern, mosque, ketupat, dates, prayer, Islamic, Muslim, Lebaran, holiday, vector, icon set, icons, line icon, flat design, symbol, collection, web icon, app icon, UI, illustration, graphic</t>
  </si>
  <si>
    <t>Christmas and New Year icon set. Christmas tree, gift, snowflake, star, bell and fireworks line icons</t>
  </si>
  <si>
    <t>Christmas, New Year, Christmas tree, gift, snowflake, star, bell, fireworks, holiday, winter, celebration, festive, December, vector, icon set, icons, line icon, flat design, symbol, collection, web icon, app icon, UI, illustration, graphic</t>
  </si>
  <si>
    <t>Lunar New Year icon set. Red lantern, lucky coin, dragon, red envelope, blossom and fortune line icons</t>
  </si>
  <si>
    <t>Lunar New Year, Chinese New Year, red lantern, lucky coin, dragon, red envelope, blossom, fortune, festival, Imlek, tradition, celebration, zodiac, vector, icon set, icons, line icon, flat design, symbol, collection, web icon, app icon, UI, illustration, graphic</t>
  </si>
  <si>
    <t>Eco and renewable energy icon set. Solar panel, wind turbine, recycling, green leaf and electric car line icons</t>
  </si>
  <si>
    <t>renewable energy, eco, solar panel, wind turbine, recycling, green leaf, electric car, sustainability, clean energy, environment, nature, green, ecology, vector, icon set, icons, line icon, flat design, symbol, collection, web icon, app icon, UI, illustration, graphic</t>
  </si>
  <si>
    <t>Panduan singkat upload Adobe Stock</t>
  </si>
  <si>
    <t>1. Satu set = satu gaya (tebal garis, warna, sudut sama). Idealnya 30-50 ikon per set.</t>
  </si>
  <si>
    <t>2. Judul: deskriptif dan alami, tanpa merek dagang atau nama marketplace. Maksimal 200 karakter.</t>
  </si>
  <si>
    <t>3. Keyword: maksimal 49 per file; 25 di sini sudah cukup. 5-10 pertama paling berpengaruh.</t>
  </si>
  <si>
    <t>4. Ganti kata generik dengan kata spesifik sesuai isi set sebenarnya. Jangan masukkan kata yang tidak ada di gambar.</t>
  </si>
  <si>
    <t>5. Format: EPS/AI + preview JPG. Konten buatan AI wajib diberi tanda 'Generative AI' saat upload.</t>
  </si>
  <si>
    <t>6. Seri musiman (Ramadan, Natal, Imlek): upload 2-3 bulan sebelum musimnya.</t>
  </si>
  <si>
    <t>7. Kolom 'Status Upload' bisa kamu ubah: Belum dibuat / Dibuat / Diupload / Diterima.</t>
  </si>
  <si>
    <t>Kolom Jumlah Karakter dan Jumlah Keyword dihitung otomatis dengan rumus.</t>
  </si>
  <si>
    <t>Sudah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</si>
</sst>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charset val="1"/>
    </font>
    <font>
      <sz val="10"/>
      <name val="Arial"/>
      <charset val="1"/>
    </font>
    <font>
      <b/>
      <sz val="12"/>
      <name val="Arial"/>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Normal="100" workbookViewId="0">
      <pane ySplit="1" topLeftCell="A19" activePane="bottomLeft" state="frozen"/>
      <selection pane="bottomLeft" activeCell="C23" sqref="C23"/>
    </sheetView>
  </sheetViews>
  <sheetFormatPr defaultColWidth="8.7421875" defaultRowHeight="15" x14ac:dyDescent="0.2"/>
  <cols>
    <col min="1" max="1" width="4.9765625" customWidth="1"/>
    <col min="2" max="2" width="16.0078125" customWidth="1"/>
    <col min="3" max="3" width="55.01953125" customWidth="1"/>
    <col min="4" max="4" width="11.02734375" customWidth="1"/>
    <col min="5" max="5" width="80.0390625" customWidth="1"/>
    <col min="6" max="6" width="11.02734375" customWidth="1"/>
    <col min="7" max="7" width="14.9296875" customWidth="1"/>
  </cols>
  <sheetData>
    <row r="1" spans="1:7" ht="31.5" customHeight="1" x14ac:dyDescent="0.2">
      <c r="A1" s="1" t="s">
        <v>0</v>
      </c>
      <c r="B1" s="1" t="s">
        <v>1</v>
      </c>
      <c r="C1" s="1" t="s">
        <v>2</v>
      </c>
      <c r="D1" s="1" t="s">
        <v>3</v>
      </c>
      <c r="E1" s="1" t="s">
        <v>4</v>
      </c>
      <c r="F1" s="1" t="s">
        <v>5</v>
      </c>
      <c r="G1" s="1" t="s">
        <v>6</v>
      </c>
    </row>
    <row r="2" spans="1:7" ht="36" x14ac:dyDescent="0.2">
      <c r="A2" s="2">
        <v>1</v>
      </c>
      <c r="B2" s="3" t="s">
        <v>7</v>
      </c>
      <c r="C2" s="3" t="s">
        <v>8</v>
      </c>
      <c r="D2" s="2">
        <f>LEN(C2)</f>
        <v>128</v>
      </c>
      <c r="E2" s="3" t="s">
        <v>9</v>
      </c>
      <c r="F2" s="2">
        <f>LEN(E2)-LEN(SUBSTITUTE(E2,",",""))+1</f>
        <v>25</v>
      </c>
      <c r="G2" s="3" t="s">
        <v>10</v>
      </c>
    </row>
    <row r="3" spans="1:7" ht="36" x14ac:dyDescent="0.2">
      <c r="A3" s="2">
        <v>2</v>
      </c>
      <c r="B3" s="3" t="s">
        <v>7</v>
      </c>
      <c r="C3" s="3" t="s">
        <v>11</v>
      </c>
      <c r="D3" s="2">
        <f>LEN(C3)</f>
        <v>101</v>
      </c>
      <c r="E3" s="3" t="s">
        <v>12</v>
      </c>
      <c r="F3" s="2">
        <f>LEN(E3)-LEN(SUBSTITUTE(E3,",",""))+1</f>
        <v>25</v>
      </c>
      <c r="G3" s="3" t="s">
        <v>10</v>
      </c>
    </row>
    <row r="4" spans="1:7" ht="36" x14ac:dyDescent="0.2">
      <c r="A4" s="2">
        <v>3</v>
      </c>
      <c r="B4" s="3" t="s">
        <v>7</v>
      </c>
      <c r="C4" s="3" t="s">
        <v>13</v>
      </c>
      <c r="D4" s="2">
        <f>LEN(C4)</f>
        <v>104</v>
      </c>
      <c r="E4" s="3" t="s">
        <v>14</v>
      </c>
      <c r="F4" s="2">
        <f>LEN(E4)-LEN(SUBSTITUTE(E4,",",""))+1</f>
        <v>25</v>
      </c>
      <c r="G4" s="3" t="s">
        <v>10</v>
      </c>
    </row>
    <row r="5" spans="1:7" ht="36" x14ac:dyDescent="0.2">
      <c r="A5" s="2">
        <v>4</v>
      </c>
      <c r="B5" s="3" t="s">
        <v>7</v>
      </c>
      <c r="C5" s="3" t="s">
        <v>15</v>
      </c>
      <c r="D5" s="2">
        <f>LEN(C5)</f>
        <v>105</v>
      </c>
      <c r="E5" s="3" t="s">
        <v>16</v>
      </c>
      <c r="F5" s="2">
        <f>LEN(E5)-LEN(SUBSTITUTE(E5,",",""))+1</f>
        <v>25</v>
      </c>
      <c r="G5" s="3" t="s">
        <v>10</v>
      </c>
    </row>
    <row r="6" spans="1:7" ht="36" x14ac:dyDescent="0.2">
      <c r="A6" s="2">
        <v>5</v>
      </c>
      <c r="B6" s="3" t="s">
        <v>7</v>
      </c>
      <c r="C6" s="3" t="s">
        <v>17</v>
      </c>
      <c r="D6" s="2">
        <f>LEN(C6)</f>
        <v>100</v>
      </c>
      <c r="E6" s="3" t="s">
        <v>18</v>
      </c>
      <c r="F6" s="2">
        <f>LEN(E6)-LEN(SUBSTITUTE(E6,",",""))+1</f>
        <v>25</v>
      </c>
      <c r="G6" s="3" t="s">
        <v>10</v>
      </c>
    </row>
    <row r="7" spans="1:7" ht="36" x14ac:dyDescent="0.2">
      <c r="A7" s="2">
        <v>6</v>
      </c>
      <c r="B7" s="3" t="s">
        <v>7</v>
      </c>
      <c r="C7" s="3" t="s">
        <v>19</v>
      </c>
      <c r="D7" s="2">
        <f>LEN(C7)</f>
        <v>113</v>
      </c>
      <c r="E7" s="3" t="s">
        <v>20</v>
      </c>
      <c r="F7" s="2">
        <f>LEN(E7)-LEN(SUBSTITUTE(E7,",",""))+1</f>
        <v>25</v>
      </c>
      <c r="G7" s="3" t="s">
        <v>10</v>
      </c>
    </row>
    <row r="8" spans="1:7" ht="36" x14ac:dyDescent="0.2">
      <c r="A8" s="2">
        <v>7</v>
      </c>
      <c r="B8" s="3" t="s">
        <v>7</v>
      </c>
      <c r="C8" s="3" t="s">
        <v>21</v>
      </c>
      <c r="D8" s="2">
        <f>LEN(C8)</f>
        <v>96</v>
      </c>
      <c r="E8" s="3" t="s">
        <v>22</v>
      </c>
      <c r="F8" s="2">
        <f>LEN(E8)-LEN(SUBSTITUTE(E8,",",""))+1</f>
        <v>25</v>
      </c>
      <c r="G8" s="3" t="s">
        <v>10</v>
      </c>
    </row>
    <row r="9" spans="1:7" ht="36" x14ac:dyDescent="0.2">
      <c r="A9" s="2">
        <v>8</v>
      </c>
      <c r="B9" s="3" t="s">
        <v>7</v>
      </c>
      <c r="C9" s="3" t="s">
        <v>23</v>
      </c>
      <c r="D9" s="2">
        <f>LEN(C9)</f>
        <v>107</v>
      </c>
      <c r="E9" s="3" t="s">
        <v>24</v>
      </c>
      <c r="F9" s="2">
        <f>LEN(E9)-LEN(SUBSTITUTE(E9,",",""))+1</f>
        <v>25</v>
      </c>
      <c r="G9" s="3" t="s">
        <v>10</v>
      </c>
    </row>
    <row r="10" spans="1:7" ht="36" x14ac:dyDescent="0.2">
      <c r="A10" s="2">
        <v>9</v>
      </c>
      <c r="B10" s="3" t="s">
        <v>25</v>
      </c>
      <c r="C10" s="3" t="s">
        <v>26</v>
      </c>
      <c r="D10" s="2">
        <f>LEN(C10)</f>
        <v>98</v>
      </c>
      <c r="E10" s="3" t="s">
        <v>27</v>
      </c>
      <c r="F10" s="2">
        <f>LEN(E10)-LEN(SUBSTITUTE(E10,",",""))+1</f>
        <v>25</v>
      </c>
      <c r="G10" s="3" t="s">
        <v>10</v>
      </c>
    </row>
    <row r="11" spans="1:7" ht="36" x14ac:dyDescent="0.2">
      <c r="A11" s="2">
        <v>10</v>
      </c>
      <c r="B11" s="3" t="s">
        <v>25</v>
      </c>
      <c r="C11" s="3" t="s">
        <v>28</v>
      </c>
      <c r="D11" s="2">
        <f>LEN(C11)</f>
        <v>102</v>
      </c>
      <c r="E11" s="3" t="s">
        <v>29</v>
      </c>
      <c r="F11" s="2">
        <f>LEN(E11)-LEN(SUBSTITUTE(E11,",",""))+1</f>
        <v>25</v>
      </c>
      <c r="G11" s="3" t="s">
        <v>10</v>
      </c>
    </row>
    <row r="12" spans="1:7" ht="36" x14ac:dyDescent="0.2">
      <c r="A12" s="2">
        <v>11</v>
      </c>
      <c r="B12" s="3" t="s">
        <v>25</v>
      </c>
      <c r="C12" s="3" t="s">
        <v>30</v>
      </c>
      <c r="D12" s="2">
        <f>LEN(C12)</f>
        <v>93</v>
      </c>
      <c r="E12" s="3" t="s">
        <v>31</v>
      </c>
      <c r="F12" s="2">
        <f>LEN(E12)-LEN(SUBSTITUTE(E12,",",""))+1</f>
        <v>25</v>
      </c>
      <c r="G12" s="3" t="s">
        <v>10</v>
      </c>
    </row>
    <row r="13" spans="1:7" ht="36" x14ac:dyDescent="0.2">
      <c r="A13" s="2">
        <v>12</v>
      </c>
      <c r="B13" s="3" t="s">
        <v>25</v>
      </c>
      <c r="C13" s="3" t="s">
        <v>32</v>
      </c>
      <c r="D13" s="2">
        <f>LEN(C13)</f>
        <v>80</v>
      </c>
      <c r="E13" s="3" t="s">
        <v>33</v>
      </c>
      <c r="F13" s="2">
        <f>LEN(E13)-LEN(SUBSTITUTE(E13,",",""))+1</f>
        <v>25</v>
      </c>
      <c r="G13" s="3" t="s">
        <v>10</v>
      </c>
    </row>
    <row r="14" spans="1:7" ht="36" x14ac:dyDescent="0.2">
      <c r="A14" s="2">
        <v>13</v>
      </c>
      <c r="B14" s="3" t="s">
        <v>25</v>
      </c>
      <c r="C14" s="3" t="s">
        <v>34</v>
      </c>
      <c r="D14" s="2">
        <f>LEN(C14)</f>
        <v>114</v>
      </c>
      <c r="E14" s="3" t="s">
        <v>35</v>
      </c>
      <c r="F14" s="2">
        <f>LEN(E14)-LEN(SUBSTITUTE(E14,",",""))+1</f>
        <v>25</v>
      </c>
      <c r="G14" s="3" t="s">
        <v>10</v>
      </c>
    </row>
    <row r="15" spans="1:7" ht="36" x14ac:dyDescent="0.2">
      <c r="A15" s="2">
        <v>14</v>
      </c>
      <c r="B15" s="3" t="s">
        <v>25</v>
      </c>
      <c r="C15" s="3" t="s">
        <v>36</v>
      </c>
      <c r="D15" s="2">
        <f>LEN(C15)</f>
        <v>98</v>
      </c>
      <c r="E15" s="3" t="s">
        <v>37</v>
      </c>
      <c r="F15" s="2">
        <f>LEN(E15)-LEN(SUBSTITUTE(E15,",",""))+1</f>
        <v>25</v>
      </c>
      <c r="G15" s="3" t="s">
        <v>10</v>
      </c>
    </row>
    <row r="16" spans="1:7" ht="36" x14ac:dyDescent="0.2">
      <c r="A16" s="2">
        <v>15</v>
      </c>
      <c r="B16" s="3" t="s">
        <v>38</v>
      </c>
      <c r="C16" s="3" t="s">
        <v>39</v>
      </c>
      <c r="D16" s="2">
        <f>LEN(C16)</f>
        <v>112</v>
      </c>
      <c r="E16" s="3" t="s">
        <v>40</v>
      </c>
      <c r="F16" s="2">
        <f>LEN(E16)-LEN(SUBSTITUTE(E16,",",""))+1</f>
        <v>25</v>
      </c>
      <c r="G16" s="3" t="s">
        <v>10</v>
      </c>
    </row>
    <row r="17" spans="1:7" ht="36" x14ac:dyDescent="0.2">
      <c r="A17" s="2">
        <v>16</v>
      </c>
      <c r="B17" s="3" t="s">
        <v>38</v>
      </c>
      <c r="C17" s="3" t="s">
        <v>41</v>
      </c>
      <c r="D17" s="2">
        <f>LEN(C17)</f>
        <v>101</v>
      </c>
      <c r="E17" s="3" t="s">
        <v>42</v>
      </c>
      <c r="F17" s="2">
        <f>LEN(E17)-LEN(SUBSTITUTE(E17,",",""))+1</f>
        <v>25</v>
      </c>
      <c r="G17" s="3" t="s">
        <v>10</v>
      </c>
    </row>
    <row r="18" spans="1:7" ht="36" x14ac:dyDescent="0.2">
      <c r="A18" s="2">
        <v>17</v>
      </c>
      <c r="B18" s="3" t="s">
        <v>38</v>
      </c>
      <c r="C18" s="3" t="s">
        <v>43</v>
      </c>
      <c r="D18" s="2">
        <f>LEN(C18)</f>
        <v>98</v>
      </c>
      <c r="E18" s="3" t="s">
        <v>44</v>
      </c>
      <c r="F18" s="2">
        <f>LEN(E18)-LEN(SUBSTITUTE(E18,",",""))+1</f>
        <v>25</v>
      </c>
      <c r="G18" s="3" t="s">
        <v>10</v>
      </c>
    </row>
    <row r="19" spans="1:7" ht="36" x14ac:dyDescent="0.2">
      <c r="A19" s="2">
        <v>18</v>
      </c>
      <c r="B19" s="3" t="s">
        <v>38</v>
      </c>
      <c r="C19" s="3" t="s">
        <v>45</v>
      </c>
      <c r="D19" s="2">
        <f>LEN(C19)</f>
        <v>100</v>
      </c>
      <c r="E19" s="3" t="s">
        <v>46</v>
      </c>
      <c r="F19" s="2">
        <f>LEN(E19)-LEN(SUBSTITUTE(E19,",",""))+1</f>
        <v>25</v>
      </c>
      <c r="G19" s="3" t="s">
        <v>10</v>
      </c>
    </row>
    <row r="20" spans="1:7" ht="36" x14ac:dyDescent="0.2">
      <c r="A20" s="2">
        <v>19</v>
      </c>
      <c r="B20" s="3" t="s">
        <v>38</v>
      </c>
      <c r="C20" s="3" t="s">
        <v>47</v>
      </c>
      <c r="D20" s="2">
        <f>LEN(C20)</f>
        <v>112</v>
      </c>
      <c r="E20" s="3" t="s">
        <v>48</v>
      </c>
      <c r="F20" s="2">
        <f>LEN(E20)-LEN(SUBSTITUTE(E20,",",""))+1</f>
        <v>25</v>
      </c>
      <c r="G20" s="3" t="s">
        <v>10</v>
      </c>
    </row>
    <row r="21" spans="1:7" ht="36" x14ac:dyDescent="0.2">
      <c r="A21" s="2">
        <v>20</v>
      </c>
      <c r="B21" s="3" t="s">
        <v>38</v>
      </c>
      <c r="C21" s="3" t="s">
        <v>49</v>
      </c>
      <c r="D21" s="2">
        <f>LEN(C21)</f>
        <v>91</v>
      </c>
      <c r="E21" s="3" t="s">
        <v>50</v>
      </c>
      <c r="F21" s="2">
        <f>LEN(E21)-LEN(SUBSTITUTE(E21,",",""))+1</f>
        <v>25</v>
      </c>
      <c r="G21" s="3" t="s">
        <v>10</v>
      </c>
    </row>
    <row r="22" spans="1:7" ht="36" x14ac:dyDescent="0.2">
      <c r="A22" s="2">
        <v>21</v>
      </c>
      <c r="B22" s="3" t="s">
        <v>51</v>
      </c>
      <c r="C22" s="3" t="s">
        <v>52</v>
      </c>
      <c r="D22" s="2">
        <f>LEN(C22)</f>
        <v>117</v>
      </c>
      <c r="E22" s="3" t="s">
        <v>53</v>
      </c>
      <c r="F22" s="2">
        <f>LEN(E22)-LEN(SUBSTITUTE(E22,",",""))+1</f>
        <v>25</v>
      </c>
      <c r="G22" s="3" t="s">
        <v>10</v>
      </c>
    </row>
    <row r="23" spans="1:7" ht="36" x14ac:dyDescent="0.2">
      <c r="A23" s="2">
        <v>22</v>
      </c>
      <c r="B23" s="3" t="s">
        <v>51</v>
      </c>
      <c r="C23" s="3" t="s">
        <v>54</v>
      </c>
      <c r="D23" s="2">
        <f>LEN(C23)</f>
        <v>98</v>
      </c>
      <c r="E23" s="3" t="s">
        <v>55</v>
      </c>
      <c r="F23" s="2">
        <f>LEN(E23)-LEN(SUBSTITUTE(E23,",",""))+1</f>
        <v>25</v>
      </c>
      <c r="G23" s="3" t="s">
        <v>10</v>
      </c>
    </row>
    <row r="24" spans="1:7" ht="36" x14ac:dyDescent="0.2">
      <c r="A24" s="2">
        <v>23</v>
      </c>
      <c r="B24" s="3" t="s">
        <v>51</v>
      </c>
      <c r="C24" s="3" t="s">
        <v>56</v>
      </c>
      <c r="D24" s="2">
        <f>LEN(C24)</f>
        <v>102</v>
      </c>
      <c r="E24" s="3" t="s">
        <v>57</v>
      </c>
      <c r="F24" s="2">
        <f>LEN(E24)-LEN(SUBSTITUTE(E24,",",""))+1</f>
        <v>25</v>
      </c>
      <c r="G24" s="3" t="s">
        <v>82</v>
      </c>
    </row>
    <row r="25" spans="1:7" ht="36" x14ac:dyDescent="0.2">
      <c r="A25" s="2">
        <v>24</v>
      </c>
      <c r="B25" s="3" t="s">
        <v>51</v>
      </c>
      <c r="C25" s="3" t="s">
        <v>58</v>
      </c>
      <c r="D25" s="2">
        <f>LEN(C25)</f>
        <v>102</v>
      </c>
      <c r="E25" s="3" t="s">
        <v>59</v>
      </c>
      <c r="F25" s="2">
        <f>LEN(E25)-LEN(SUBSTITUTE(E25,",",""))+1</f>
        <v>25</v>
      </c>
      <c r="G25" s="3" t="s">
        <v>82</v>
      </c>
    </row>
    <row r="26" spans="1:7" ht="36" x14ac:dyDescent="0.2">
      <c r="A26" s="2">
        <v>25</v>
      </c>
      <c r="B26" s="3" t="s">
        <v>60</v>
      </c>
      <c r="C26" s="3" t="s">
        <v>61</v>
      </c>
      <c r="D26" s="2">
        <f>LEN(C26)</f>
        <v>103</v>
      </c>
      <c r="E26" s="3" t="s">
        <v>62</v>
      </c>
      <c r="F26" s="2">
        <f>LEN(E26)-LEN(SUBSTITUTE(E26,",",""))+1</f>
        <v>25</v>
      </c>
      <c r="G26" s="3" t="s">
        <v>82</v>
      </c>
    </row>
    <row r="27" spans="1:7" ht="36" x14ac:dyDescent="0.2">
      <c r="A27" s="2">
        <v>26</v>
      </c>
      <c r="B27" s="3" t="s">
        <v>60</v>
      </c>
      <c r="C27" s="3" t="s">
        <v>63</v>
      </c>
      <c r="D27" s="2">
        <f>LEN(C27)</f>
        <v>99</v>
      </c>
      <c r="E27" s="3" t="s">
        <v>64</v>
      </c>
      <c r="F27" s="2">
        <f>LEN(E27)-LEN(SUBSTITUTE(E27,",",""))+1</f>
        <v>25</v>
      </c>
      <c r="G27" s="3" t="s">
        <v>82</v>
      </c>
    </row>
    <row r="28" spans="1:7" ht="36" x14ac:dyDescent="0.2">
      <c r="A28" s="2">
        <v>27</v>
      </c>
      <c r="B28" s="3" t="s">
        <v>60</v>
      </c>
      <c r="C28" s="3" t="s">
        <v>65</v>
      </c>
      <c r="D28" s="2">
        <f>LEN(C28)</f>
        <v>94</v>
      </c>
      <c r="E28" s="3" t="s">
        <v>66</v>
      </c>
      <c r="F28" s="2">
        <f>LEN(E28)-LEN(SUBSTITUTE(E28,",",""))+1</f>
        <v>25</v>
      </c>
      <c r="G28" s="3" t="s">
        <v>82</v>
      </c>
    </row>
    <row r="29" spans="1:7" ht="36" x14ac:dyDescent="0.2">
      <c r="A29" s="2">
        <v>28</v>
      </c>
      <c r="B29" s="3" t="s">
        <v>60</v>
      </c>
      <c r="C29" s="3" t="s">
        <v>67</v>
      </c>
      <c r="D29" s="2">
        <f>LEN(C29)</f>
        <v>101</v>
      </c>
      <c r="E29" s="3" t="s">
        <v>68</v>
      </c>
      <c r="F29" s="2">
        <f>LEN(E29)-LEN(SUBSTITUTE(E29,",",""))+1</f>
        <v>25</v>
      </c>
      <c r="G29" s="3" t="s">
        <v>82</v>
      </c>
    </row>
    <row r="30" spans="1:7" ht="36" x14ac:dyDescent="0.2">
      <c r="A30" s="2">
        <v>29</v>
      </c>
      <c r="B30" s="3" t="s">
        <v>60</v>
      </c>
      <c r="C30" s="3" t="s">
        <v>69</v>
      </c>
      <c r="D30" s="2">
        <f>LEN(C30)</f>
        <v>102</v>
      </c>
      <c r="E30" s="3" t="s">
        <v>70</v>
      </c>
      <c r="F30" s="2">
        <f>LEN(E30)-LEN(SUBSTITUTE(E30,",",""))+1</f>
        <v>25</v>
      </c>
      <c r="G30" s="3" t="s">
        <v>82</v>
      </c>
    </row>
    <row r="31" spans="1:7" ht="36" x14ac:dyDescent="0.2">
      <c r="A31" s="2">
        <v>30</v>
      </c>
      <c r="B31" s="3" t="s">
        <v>60</v>
      </c>
      <c r="C31" s="3" t="s">
        <v>71</v>
      </c>
      <c r="D31" s="2">
        <f>LEN(C31)</f>
        <v>111</v>
      </c>
      <c r="E31" s="3" t="s">
        <v>72</v>
      </c>
      <c r="F31" s="2">
        <f>LEN(E31)-LEN(SUBSTITUTE(E31,",",""))+1</f>
        <v>25</v>
      </c>
      <c r="G31" s="3" t="s">
        <v>82</v>
      </c>
    </row>
  </sheetData>
  <autoFilter ref="A1:G3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zoomScaleNormal="100" workbookViewId="0"/>
  </sheetViews>
  <sheetFormatPr defaultColWidth="8.7421875" defaultRowHeight="15" x14ac:dyDescent="0.2"/>
  <cols>
    <col min="1" max="1" width="119.9921875" customWidth="1"/>
  </cols>
  <sheetData>
    <row r="1" spans="1:1" x14ac:dyDescent="0.2">
      <c r="A1" s="4" t="s">
        <v>73</v>
      </c>
    </row>
    <row r="2" spans="1:1" x14ac:dyDescent="0.2">
      <c r="A2" s="5"/>
    </row>
    <row r="3" spans="1:1" x14ac:dyDescent="0.2">
      <c r="A3" s="5" t="s">
        <v>74</v>
      </c>
    </row>
    <row r="4" spans="1:1" x14ac:dyDescent="0.2">
      <c r="A4" s="5" t="s">
        <v>75</v>
      </c>
    </row>
    <row r="5" spans="1:1" x14ac:dyDescent="0.2">
      <c r="A5" s="5" t="s">
        <v>76</v>
      </c>
    </row>
    <row r="6" spans="1:1" x14ac:dyDescent="0.2">
      <c r="A6" s="5" t="s">
        <v>77</v>
      </c>
    </row>
    <row r="7" spans="1:1" x14ac:dyDescent="0.2">
      <c r="A7" s="5" t="s">
        <v>78</v>
      </c>
    </row>
    <row r="8" spans="1:1" x14ac:dyDescent="0.2">
      <c r="A8" s="5" t="s">
        <v>79</v>
      </c>
    </row>
    <row r="9" spans="1:1" x14ac:dyDescent="0.2">
      <c r="A9" s="5" t="s">
        <v>80</v>
      </c>
    </row>
    <row r="10" spans="1:1" x14ac:dyDescent="0.2">
      <c r="A10" s="5"/>
    </row>
    <row r="11" spans="1:1" x14ac:dyDescent="0.2">
      <c r="A11" s="5" t="s">
        <v>81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iOS</Application>
  <ScaleCrop>false</ScaleCrop>
  <HeadingPairs>
    <vt:vector size="2" baseType="variant">
      <vt:variant>
        <vt:lpstr>Worksheets</vt:lpstr>
      </vt:variant>
      <vt:variant>
        <vt:i4>2</vt:i4>
      </vt:variant>
    </vt:vector>
  </HeadingPairs>
  <TitlesOfParts>
    <vt:vector size="2" baseType="lpstr">
      <vt:lpstr>Judul &amp; Keyword</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2026-10-27T01:14:07Z</dcterms:created>
  <dcterms:modified xsi:type="dcterms:W3CDTF">2026-10-27T01:14:07Z</dcterms:modified>
  <dc:language>en-US</dc:language>
</cp:coreProperties>
</file>